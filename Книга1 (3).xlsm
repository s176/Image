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360" yWindow="90" windowWidth="14355" windowHeight="4680" activeTab="1"/>
  </bookViews>
  <sheets>
    <sheet name="Лист1" sheetId="1" r:id="rId1"/>
    <sheet name="Лист2" sheetId="2" r:id="rId2"/>
    <sheet name="Лист3" sheetId="3" r:id="rId3"/>
  </sheets>
  <calcPr calcId="125725"/>
</workbook>
</file>

<file path=xl/calcChain.xml><?xml version="1.0" encoding="utf-8"?>
<calcChain xmlns="http://schemas.openxmlformats.org/spreadsheetml/2006/main">
  <c r="M11" i="2"/>
  <c r="M10"/>
  <c r="M9"/>
  <c r="M8"/>
  <c r="M7"/>
  <c r="M6"/>
  <c r="M5"/>
  <c r="M4"/>
  <c r="M3"/>
  <c r="M2"/>
  <c r="N2"/>
  <c r="D11"/>
  <c r="H8" s="1"/>
  <c r="L8" s="1"/>
  <c r="C11"/>
  <c r="G9" s="1"/>
  <c r="K9" s="1"/>
  <c r="B11"/>
  <c r="F10" s="1"/>
  <c r="J10" s="1"/>
  <c r="H9" l="1"/>
  <c r="L9" s="1"/>
  <c r="H5"/>
  <c r="L5" s="1"/>
  <c r="H3"/>
  <c r="L3" s="1"/>
  <c r="H7"/>
  <c r="L7" s="1"/>
  <c r="H2"/>
  <c r="L2" s="1"/>
  <c r="H6"/>
  <c r="L6" s="1"/>
  <c r="H10"/>
  <c r="L10" s="1"/>
  <c r="H4"/>
  <c r="L4" s="1"/>
  <c r="G2"/>
  <c r="K2" s="1"/>
  <c r="G4"/>
  <c r="K4" s="1"/>
  <c r="G6"/>
  <c r="K6" s="1"/>
  <c r="G8"/>
  <c r="K8" s="1"/>
  <c r="G10"/>
  <c r="K10" s="1"/>
  <c r="G3"/>
  <c r="K3" s="1"/>
  <c r="G5"/>
  <c r="K5" s="1"/>
  <c r="G7"/>
  <c r="K7" s="1"/>
  <c r="F3"/>
  <c r="J3" s="1"/>
  <c r="F7"/>
  <c r="J7" s="1"/>
  <c r="F8"/>
  <c r="J8" s="1"/>
  <c r="F4"/>
  <c r="J4" s="1"/>
  <c r="F5"/>
  <c r="J5" s="1"/>
  <c r="F9"/>
  <c r="J9" s="1"/>
  <c r="F2"/>
  <c r="J2" s="1"/>
  <c r="F6"/>
  <c r="J6" s="1"/>
  <c r="N9" l="1"/>
  <c r="N10"/>
  <c r="N3"/>
  <c r="N8"/>
  <c r="N5"/>
  <c r="N4"/>
  <c r="L11"/>
  <c r="N7"/>
  <c r="N6"/>
  <c r="K11"/>
  <c r="J11"/>
  <c r="N11" l="1"/>
  <c r="A10" i="1" l="1"/>
  <c r="H10" s="1"/>
  <c r="H9"/>
  <c r="H8"/>
  <c r="H7"/>
  <c r="H6"/>
  <c r="H5"/>
  <c r="H4"/>
  <c r="H3"/>
  <c r="H2"/>
  <c r="H1"/>
  <c r="B1"/>
  <c r="B10"/>
  <c r="B9"/>
  <c r="B8"/>
  <c r="B7"/>
  <c r="B6"/>
  <c r="B5"/>
  <c r="B4"/>
  <c r="B3"/>
  <c r="B2"/>
  <c r="A2"/>
  <c r="A3" s="1"/>
  <c r="A4" l="1"/>
  <c r="A5" l="1"/>
  <c r="A6" l="1"/>
  <c r="A7" l="1"/>
  <c r="A8" l="1"/>
  <c r="A9" l="1"/>
  <c r="A11" l="1"/>
  <c r="B11" l="1"/>
  <c r="H11"/>
  <c r="C7" l="1"/>
  <c r="C3"/>
  <c r="C4"/>
  <c r="C6"/>
  <c r="C9"/>
  <c r="C2"/>
  <c r="C5"/>
  <c r="C1"/>
  <c r="C11"/>
  <c r="C8"/>
  <c r="C10"/>
</calcChain>
</file>

<file path=xl/sharedStrings.xml><?xml version="1.0" encoding="utf-8"?>
<sst xmlns="http://schemas.openxmlformats.org/spreadsheetml/2006/main" count="9" uniqueCount="9">
  <si>
    <t>Pixel</t>
  </si>
  <si>
    <t>Red</t>
  </si>
  <si>
    <t>Green</t>
  </si>
  <si>
    <t>Blue</t>
  </si>
  <si>
    <t>Среднее</t>
  </si>
  <si>
    <t>отклонение</t>
  </si>
  <si>
    <t>квадрат отклонения</t>
  </si>
  <si>
    <t>корень суммы</t>
  </si>
  <si>
    <t>сумма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</si>
</sst>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DC6934"/>
        <bgColor indexed="64"/>
      </patternFill>
    </fill>
    <fill>
      <patternFill patternType="solid">
        <fgColor rgb="FFC9622D"/>
        <bgColor indexed="64"/>
      </patternFill>
    </fill>
    <fill>
      <patternFill patternType="solid">
        <fgColor rgb="FFD76E35"/>
        <bgColor indexed="64"/>
      </patternFill>
    </fill>
    <fill>
      <patternFill patternType="solid">
        <fgColor rgb="FFD26530"/>
        <bgColor indexed="64"/>
      </patternFill>
    </fill>
    <fill>
      <patternFill patternType="solid">
        <fgColor rgb="FF996719"/>
        <bgColor indexed="64"/>
      </patternFill>
    </fill>
    <fill>
      <patternFill patternType="solid">
        <fgColor rgb="FF6E871F"/>
        <bgColor indexed="64"/>
      </patternFill>
    </fill>
    <fill>
      <patternFill patternType="solid">
        <fgColor rgb="FF5F9E30"/>
        <bgColor indexed="64"/>
      </patternFill>
    </fill>
    <fill>
      <patternFill patternType="solid">
        <fgColor rgb="FF63A516"/>
        <bgColor indexed="64"/>
      </patternFill>
    </fill>
    <fill>
      <patternFill patternType="solid">
        <fgColor rgb="FF6E4B2D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2" fontId="0" fillId="0" borderId="0" xfId="0" applyNumberFormat="1"/>
    <xf numFmtId="2" fontId="1" fillId="0" borderId="0" xfId="0" applyNumberFormat="1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10" borderId="0" xfId="0" applyFont="1" applyFill="1"/>
  </cellXfs>
  <cellStyles count="1">
    <cellStyle name="Обычный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F1423"/>
      <rgbColor rgb="00FFFFFF"/>
      <rgbColor rgb="00FF0000"/>
      <rgbColor rgb="0000FF00"/>
      <rgbColor rgb="000000FF"/>
      <rgbColor rgb="00FFFF00"/>
      <rgbColor rgb="00FF00FF"/>
      <rgbColor rgb="0000FFFF"/>
      <rgbColor rgb="00771432"/>
      <rgbColor rgb="00008000"/>
      <rgbColor rgb="00000080"/>
      <rgbColor rgb="0063A516"/>
      <rgbColor rgb="00800080"/>
      <rgbColor rgb="00157341"/>
      <rgbColor rgb="00CDCDC8"/>
      <rgbColor rgb="00776964"/>
      <rgbColor rgb="009999FF"/>
      <rgbColor rgb="00D234BE"/>
      <rgbColor rgb="00FFFFCC"/>
      <rgbColor rgb="00CCFFFF"/>
      <rgbColor rgb="00660066"/>
      <rgbColor rgb="00C37341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6CDC8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D26530"/>
      <rgbColor rgb="0063A5A7"/>
      <rgbColor rgb="006E96C3"/>
      <rgbColor rgb="00003366"/>
      <rgbColor rgb="005F9E30"/>
      <rgbColor rgb="00003300"/>
      <rgbColor rgb="00333300"/>
      <rgbColor rgb="00AF5C15"/>
      <rgbColor rgb="00993366"/>
      <rgbColor rgb="00333399"/>
      <rgbColor rgb="006E4B2D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scatterChart>
        <c:scatterStyle val="lineMarker"/>
        <c:ser>
          <c:idx val="0"/>
          <c:order val="0"/>
          <c:spPr>
            <a:ln w="12700">
              <a:solidFill>
                <a:schemeClr val="tx1"/>
              </a:solidFill>
            </a:ln>
          </c:spPr>
          <c:xVal>
            <c:numRef>
              <c:f>Лист1!$A$1:$A$11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Лист1!$C$1:$C$11</c:f>
              <c:numCache>
                <c:formatCode>General</c:formatCode>
                <c:ptCount val="11"/>
                <c:pt idx="0">
                  <c:v>0</c:v>
                </c:pt>
                <c:pt idx="1">
                  <c:v>8.8826256169158346E-2</c:v>
                </c:pt>
                <c:pt idx="2">
                  <c:v>0.18723520485441011</c:v>
                </c:pt>
                <c:pt idx="3">
                  <c:v>0.29334273961098123</c:v>
                </c:pt>
                <c:pt idx="4">
                  <c:v>0.40445651742355704</c:v>
                </c:pt>
                <c:pt idx="5">
                  <c:v>0.51730870980778365</c:v>
                </c:pt>
                <c:pt idx="6">
                  <c:v>0.62842248762035924</c:v>
                </c:pt>
                <c:pt idx="7">
                  <c:v>0.73453002237693032</c:v>
                </c:pt>
                <c:pt idx="8">
                  <c:v>0.83293897106218218</c:v>
                </c:pt>
                <c:pt idx="9">
                  <c:v>0.92176522723134047</c:v>
                </c:pt>
                <c:pt idx="10">
                  <c:v>1</c:v>
                </c:pt>
              </c:numCache>
            </c:numRef>
          </c:yVal>
        </c:ser>
        <c:ser>
          <c:idx val="1"/>
          <c:order val="1"/>
          <c:spPr>
            <a:ln w="12700">
              <a:solidFill>
                <a:schemeClr val="tx1"/>
              </a:solidFill>
            </a:ln>
          </c:spPr>
          <c:xVal>
            <c:numRef>
              <c:f>Лист1!$A$1:$A$11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Лист1!$H$1:$H$11</c:f>
              <c:numCache>
                <c:formatCode>General</c:formatCode>
                <c:ptCount val="11"/>
                <c:pt idx="0">
                  <c:v>6.6225165562913907E-3</c:v>
                </c:pt>
                <c:pt idx="1">
                  <c:v>1.7799321704734458E-2</c:v>
                </c:pt>
                <c:pt idx="2">
                  <c:v>4.6947712134991659E-2</c:v>
                </c:pt>
                <c:pt idx="3">
                  <c:v>0.11809079882117492</c:v>
                </c:pt>
                <c:pt idx="4">
                  <c:v>0.26685554109017856</c:v>
                </c:pt>
                <c:pt idx="5">
                  <c:v>0.49734120153716488</c:v>
                </c:pt>
                <c:pt idx="6">
                  <c:v>0.72896242160922353</c:v>
                </c:pt>
                <c:pt idx="7">
                  <c:v>0.87967591028214409</c:v>
                </c:pt>
                <c:pt idx="8">
                  <c:v>0.952091340535129</c:v>
                </c:pt>
                <c:pt idx="9">
                  <c:v>0.98182497581312411</c:v>
                </c:pt>
                <c:pt idx="10">
                  <c:v>0.99323607280853887</c:v>
                </c:pt>
              </c:numCache>
            </c:numRef>
          </c:yVal>
        </c:ser>
        <c:ser>
          <c:idx val="2"/>
          <c:order val="2"/>
          <c:spPr>
            <a:ln w="28575">
              <a:noFill/>
            </a:ln>
          </c:spPr>
          <c:marker>
            <c:symbol val="none"/>
          </c:marker>
          <c:trendline>
            <c:trendlineType val="linear"/>
          </c:trendline>
          <c:xVal>
            <c:numRef>
              <c:f>Лист1!$A$1:$A$11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Лист1!$A$1:$A$11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yVal>
        </c:ser>
        <c:axId val="196612864"/>
        <c:axId val="196614400"/>
      </c:scatterChart>
      <c:valAx>
        <c:axId val="196612864"/>
        <c:scaling>
          <c:orientation val="minMax"/>
          <c:max val="1"/>
          <c:min val="0"/>
        </c:scaling>
        <c:axPos val="b"/>
        <c:numFmt formatCode="General" sourceLinked="1"/>
        <c:tickLblPos val="nextTo"/>
        <c:crossAx val="196614400"/>
        <c:crosses val="autoZero"/>
        <c:crossBetween val="midCat"/>
      </c:valAx>
      <c:valAx>
        <c:axId val="196614400"/>
        <c:scaling>
          <c:orientation val="minMax"/>
          <c:max val="1"/>
          <c:min val="0"/>
        </c:scaling>
        <c:axPos val="l"/>
        <c:majorGridlines/>
        <c:numFmt formatCode="General" sourceLinked="1"/>
        <c:tickLblPos val="nextTo"/>
        <c:crossAx val="196612864"/>
        <c:crosses val="autoZero"/>
        <c:crossBetween val="midCat"/>
      </c:valAx>
    </c:plotArea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390525</xdr:colOff>
      <xdr:row>1</xdr:row>
      <xdr:rowOff>47624</xdr:rowOff>
    </xdr:from>
    <xdr:to>
      <xdr:col>16</xdr:col>
      <xdr:colOff>85725</xdr:colOff>
      <xdr:row>23</xdr:row>
      <xdr:rowOff>142875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11"/>
  <sheetViews>
    <sheetView workbookViewId="0">
      <selection activeCell="C2" sqref="C2"/>
    </sheetView>
  </sheetViews>
  <sheetFormatPr defaultRowHeight="15"/>
  <cols>
    <col min="2" max="2" width="12" bestFit="1" customWidth="1"/>
    <col min="3" max="3" width="12" customWidth="1"/>
  </cols>
  <sheetData>
    <row r="1" spans="1:10">
      <c r="A1">
        <v>0</v>
      </c>
      <c r="B1">
        <f t="shared" ref="B1:B11" si="0">$E$1/(1+EXP(-$D$1*(A1*$G$1+$F$1)))</f>
        <v>0.24508501313237172</v>
      </c>
      <c r="C1">
        <f>(B1-$B$1)/($B$11-$B$1)</f>
        <v>0</v>
      </c>
      <c r="D1">
        <v>2.5</v>
      </c>
      <c r="E1">
        <v>1</v>
      </c>
      <c r="F1">
        <v>-0.45</v>
      </c>
      <c r="G1">
        <v>1</v>
      </c>
      <c r="H1">
        <f>1/(1+$I$1*EXP($J$1*A1))</f>
        <v>6.6225165562913907E-3</v>
      </c>
      <c r="I1">
        <v>150</v>
      </c>
      <c r="J1">
        <v>-10</v>
      </c>
    </row>
    <row r="2" spans="1:10">
      <c r="A2">
        <f>A1+0.1</f>
        <v>0.1</v>
      </c>
      <c r="B2">
        <f t="shared" si="0"/>
        <v>0.29421497216298875</v>
      </c>
      <c r="C2">
        <f t="shared" ref="C2:C11" si="1">(B2-$B$1)/($B$11-$B$1)</f>
        <v>8.8826256169158346E-2</v>
      </c>
      <c r="H2">
        <f t="shared" ref="H2:H11" si="2">1/(1+$I$1*EXP($J$1*A2))</f>
        <v>1.7799321704734458E-2</v>
      </c>
    </row>
    <row r="3" spans="1:10">
      <c r="A3">
        <f t="shared" ref="A3:A11" si="3">A2+0.1</f>
        <v>0.2</v>
      </c>
      <c r="B3">
        <f t="shared" si="0"/>
        <v>0.34864513533394575</v>
      </c>
      <c r="C3">
        <f t="shared" si="1"/>
        <v>0.18723520485441011</v>
      </c>
      <c r="H3">
        <f t="shared" si="2"/>
        <v>4.6947712134991659E-2</v>
      </c>
    </row>
    <row r="4" spans="1:10">
      <c r="A4">
        <f t="shared" si="3"/>
        <v>0.30000000000000004</v>
      </c>
      <c r="B4">
        <f t="shared" si="0"/>
        <v>0.40733340004593027</v>
      </c>
      <c r="C4">
        <f t="shared" si="1"/>
        <v>0.29334273961098123</v>
      </c>
      <c r="H4">
        <f t="shared" si="2"/>
        <v>0.11809079882117492</v>
      </c>
    </row>
    <row r="5" spans="1:10">
      <c r="A5">
        <f t="shared" si="3"/>
        <v>0.4</v>
      </c>
      <c r="B5">
        <f t="shared" si="0"/>
        <v>0.46879062662624377</v>
      </c>
      <c r="C5">
        <f t="shared" si="1"/>
        <v>0.40445651742355704</v>
      </c>
      <c r="H5">
        <f t="shared" si="2"/>
        <v>0.26685554109017856</v>
      </c>
    </row>
    <row r="6" spans="1:10">
      <c r="A6">
        <f t="shared" si="3"/>
        <v>0.5</v>
      </c>
      <c r="B6">
        <f t="shared" si="0"/>
        <v>0.53120937337375629</v>
      </c>
      <c r="C6">
        <f t="shared" si="1"/>
        <v>0.51730870980778365</v>
      </c>
      <c r="H6">
        <f t="shared" si="2"/>
        <v>0.49734120153716488</v>
      </c>
    </row>
    <row r="7" spans="1:10">
      <c r="A7">
        <f t="shared" si="3"/>
        <v>0.6</v>
      </c>
      <c r="B7">
        <f t="shared" si="0"/>
        <v>0.59266659995406967</v>
      </c>
      <c r="C7">
        <f t="shared" si="1"/>
        <v>0.62842248762035924</v>
      </c>
      <c r="H7">
        <f t="shared" si="2"/>
        <v>0.72896242160922353</v>
      </c>
    </row>
    <row r="8" spans="1:10">
      <c r="A8">
        <f t="shared" si="3"/>
        <v>0.7</v>
      </c>
      <c r="B8">
        <f t="shared" si="0"/>
        <v>0.65135486466605419</v>
      </c>
      <c r="C8">
        <f t="shared" si="1"/>
        <v>0.73453002237693032</v>
      </c>
      <c r="H8">
        <f t="shared" si="2"/>
        <v>0.87967591028214409</v>
      </c>
    </row>
    <row r="9" spans="1:10">
      <c r="A9">
        <f t="shared" si="3"/>
        <v>0.79999999999999993</v>
      </c>
      <c r="B9">
        <f t="shared" si="0"/>
        <v>0.70578502783701125</v>
      </c>
      <c r="C9">
        <f t="shared" si="1"/>
        <v>0.83293897106218218</v>
      </c>
      <c r="H9">
        <f t="shared" si="2"/>
        <v>0.952091340535129</v>
      </c>
    </row>
    <row r="10" spans="1:10">
      <c r="A10">
        <f t="shared" si="3"/>
        <v>0.89999999999999991</v>
      </c>
      <c r="B10">
        <f t="shared" si="0"/>
        <v>0.75491498686762826</v>
      </c>
      <c r="C10">
        <f t="shared" si="1"/>
        <v>0.92176522723134047</v>
      </c>
      <c r="H10">
        <f t="shared" si="2"/>
        <v>0.98182497581312411</v>
      </c>
    </row>
    <row r="11" spans="1:10">
      <c r="A11">
        <f t="shared" si="3"/>
        <v>0.99999999999999989</v>
      </c>
      <c r="B11">
        <f t="shared" si="0"/>
        <v>0.79818677773962099</v>
      </c>
      <c r="C11">
        <f t="shared" si="1"/>
        <v>1</v>
      </c>
      <c r="H11">
        <f t="shared" si="2"/>
        <v>0.99323607280853887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N14"/>
  <sheetViews>
    <sheetView tabSelected="1" workbookViewId="0">
      <selection activeCell="A6" sqref="A6:XFD6"/>
    </sheetView>
  </sheetViews>
  <sheetFormatPr defaultRowHeight="15"/>
  <cols>
    <col min="13" max="13" width="11.7109375" customWidth="1"/>
  </cols>
  <sheetData>
    <row r="1" spans="1:14">
      <c r="A1" t="s">
        <v>0</v>
      </c>
      <c r="B1" t="s">
        <v>1</v>
      </c>
      <c r="C1" t="s">
        <v>2</v>
      </c>
      <c r="D1" t="s">
        <v>3</v>
      </c>
      <c r="F1" t="s">
        <v>5</v>
      </c>
      <c r="J1" t="s">
        <v>6</v>
      </c>
      <c r="M1" t="s">
        <v>8</v>
      </c>
      <c r="N1" t="s">
        <v>7</v>
      </c>
    </row>
    <row r="2" spans="1:14">
      <c r="A2">
        <v>0</v>
      </c>
      <c r="B2">
        <v>220</v>
      </c>
      <c r="C2">
        <v>105</v>
      </c>
      <c r="D2">
        <v>52</v>
      </c>
      <c r="F2">
        <f>B2-B$11</f>
        <v>63</v>
      </c>
      <c r="G2">
        <f t="shared" ref="G2:G10" si="0">C2-C$11</f>
        <v>-11.666666666666671</v>
      </c>
      <c r="H2">
        <f t="shared" ref="H2:H10" si="1">D2-D$11</f>
        <v>11</v>
      </c>
      <c r="J2">
        <f>F2^2</f>
        <v>3969</v>
      </c>
      <c r="K2">
        <f t="shared" ref="K2:K10" si="2">G2^2</f>
        <v>136.11111111111123</v>
      </c>
      <c r="L2">
        <f t="shared" ref="L2:L10" si="3">H2^2</f>
        <v>121</v>
      </c>
      <c r="M2">
        <f>J2+K2+L2</f>
        <v>4226.1111111111113</v>
      </c>
      <c r="N2" s="2">
        <f>SQRT(J2+K2+L2)</f>
        <v>65.00854644668739</v>
      </c>
    </row>
    <row r="3" spans="1:14">
      <c r="A3">
        <v>1</v>
      </c>
      <c r="B3">
        <v>201</v>
      </c>
      <c r="C3">
        <v>98</v>
      </c>
      <c r="D3">
        <v>45</v>
      </c>
      <c r="F3">
        <f t="shared" ref="F3:F10" si="4">B3-B$11</f>
        <v>44</v>
      </c>
      <c r="G3">
        <f t="shared" si="0"/>
        <v>-18.666666666666671</v>
      </c>
      <c r="H3">
        <f t="shared" si="1"/>
        <v>4</v>
      </c>
      <c r="J3">
        <f t="shared" ref="J3:J10" si="5">F3^2</f>
        <v>1936</v>
      </c>
      <c r="K3">
        <f t="shared" si="2"/>
        <v>348.44444444444463</v>
      </c>
      <c r="L3">
        <f t="shared" si="3"/>
        <v>16</v>
      </c>
      <c r="M3">
        <f t="shared" ref="M3:M11" si="6">J3+K3+L3</f>
        <v>2300.4444444444448</v>
      </c>
      <c r="N3" s="2">
        <f t="shared" ref="N3:N11" si="7">SQRT(J3+K3+L3)</f>
        <v>47.962948662946538</v>
      </c>
    </row>
    <row r="4" spans="1:14">
      <c r="A4">
        <v>2</v>
      </c>
      <c r="B4">
        <v>215</v>
      </c>
      <c r="C4">
        <v>110</v>
      </c>
      <c r="D4">
        <v>53</v>
      </c>
      <c r="F4">
        <f t="shared" si="4"/>
        <v>58</v>
      </c>
      <c r="G4">
        <f t="shared" si="0"/>
        <v>-6.6666666666666714</v>
      </c>
      <c r="H4">
        <f t="shared" si="1"/>
        <v>12</v>
      </c>
      <c r="J4">
        <f t="shared" si="5"/>
        <v>3364</v>
      </c>
      <c r="K4">
        <f t="shared" si="2"/>
        <v>44.444444444444507</v>
      </c>
      <c r="L4">
        <f t="shared" si="3"/>
        <v>144</v>
      </c>
      <c r="M4">
        <f t="shared" si="6"/>
        <v>3552.4444444444443</v>
      </c>
      <c r="N4" s="2">
        <f t="shared" si="7"/>
        <v>59.602386231127056</v>
      </c>
    </row>
    <row r="5" spans="1:14">
      <c r="A5">
        <v>3</v>
      </c>
      <c r="B5">
        <v>210</v>
      </c>
      <c r="C5">
        <v>101</v>
      </c>
      <c r="D5">
        <v>48</v>
      </c>
      <c r="F5">
        <f t="shared" si="4"/>
        <v>53</v>
      </c>
      <c r="G5">
        <f t="shared" si="0"/>
        <v>-15.666666666666671</v>
      </c>
      <c r="H5">
        <f t="shared" si="1"/>
        <v>7</v>
      </c>
      <c r="J5">
        <f t="shared" si="5"/>
        <v>2809</v>
      </c>
      <c r="K5">
        <f t="shared" si="2"/>
        <v>245.4444444444446</v>
      </c>
      <c r="L5">
        <f t="shared" si="3"/>
        <v>49</v>
      </c>
      <c r="M5">
        <f t="shared" si="6"/>
        <v>3103.4444444444448</v>
      </c>
      <c r="N5" s="2">
        <f t="shared" si="7"/>
        <v>55.708567065079357</v>
      </c>
    </row>
    <row r="6" spans="1:14" s="1" customFormat="1">
      <c r="A6" s="1">
        <v>4</v>
      </c>
      <c r="B6" s="1">
        <v>110</v>
      </c>
      <c r="C6" s="1">
        <v>75</v>
      </c>
      <c r="D6" s="1">
        <v>45</v>
      </c>
      <c r="F6" s="1">
        <f t="shared" si="4"/>
        <v>-47</v>
      </c>
      <c r="G6" s="1">
        <f t="shared" si="0"/>
        <v>-41.666666666666671</v>
      </c>
      <c r="H6" s="1">
        <f t="shared" si="1"/>
        <v>4</v>
      </c>
      <c r="J6" s="1">
        <f t="shared" si="5"/>
        <v>2209</v>
      </c>
      <c r="K6" s="1">
        <f t="shared" si="2"/>
        <v>1736.1111111111115</v>
      </c>
      <c r="L6" s="1">
        <f t="shared" si="3"/>
        <v>16</v>
      </c>
      <c r="M6" s="1">
        <f t="shared" si="6"/>
        <v>3961.1111111111113</v>
      </c>
      <c r="N6" s="3">
        <f t="shared" si="7"/>
        <v>62.937358628330685</v>
      </c>
    </row>
    <row r="7" spans="1:14">
      <c r="A7">
        <v>5</v>
      </c>
      <c r="B7">
        <v>153</v>
      </c>
      <c r="C7">
        <v>103</v>
      </c>
      <c r="D7">
        <v>25</v>
      </c>
      <c r="F7">
        <f t="shared" si="4"/>
        <v>-4</v>
      </c>
      <c r="G7">
        <f t="shared" si="0"/>
        <v>-13.666666666666671</v>
      </c>
      <c r="H7">
        <f t="shared" si="1"/>
        <v>-16</v>
      </c>
      <c r="J7">
        <f t="shared" si="5"/>
        <v>16</v>
      </c>
      <c r="K7">
        <f t="shared" si="2"/>
        <v>186.77777777777791</v>
      </c>
      <c r="L7">
        <f t="shared" si="3"/>
        <v>256</v>
      </c>
      <c r="M7">
        <f t="shared" si="6"/>
        <v>458.77777777777794</v>
      </c>
      <c r="N7" s="2">
        <f t="shared" si="7"/>
        <v>21.41909843522313</v>
      </c>
    </row>
    <row r="8" spans="1:14">
      <c r="A8">
        <v>6</v>
      </c>
      <c r="B8">
        <v>110</v>
      </c>
      <c r="C8">
        <v>135</v>
      </c>
      <c r="D8">
        <v>31</v>
      </c>
      <c r="F8">
        <f t="shared" si="4"/>
        <v>-47</v>
      </c>
      <c r="G8">
        <f t="shared" si="0"/>
        <v>18.333333333333329</v>
      </c>
      <c r="H8">
        <f t="shared" si="1"/>
        <v>-10</v>
      </c>
      <c r="J8">
        <f t="shared" si="5"/>
        <v>2209</v>
      </c>
      <c r="K8">
        <f t="shared" si="2"/>
        <v>336.11111111111092</v>
      </c>
      <c r="L8">
        <f t="shared" si="3"/>
        <v>100</v>
      </c>
      <c r="M8">
        <f t="shared" si="6"/>
        <v>2645.1111111111109</v>
      </c>
      <c r="N8" s="2">
        <f t="shared" si="7"/>
        <v>51.430643697226955</v>
      </c>
    </row>
    <row r="9" spans="1:14">
      <c r="A9">
        <v>7</v>
      </c>
      <c r="B9">
        <v>95</v>
      </c>
      <c r="C9">
        <v>158</v>
      </c>
      <c r="D9">
        <v>48</v>
      </c>
      <c r="F9">
        <f t="shared" si="4"/>
        <v>-62</v>
      </c>
      <c r="G9">
        <f t="shared" si="0"/>
        <v>41.333333333333329</v>
      </c>
      <c r="H9">
        <f t="shared" si="1"/>
        <v>7</v>
      </c>
      <c r="J9">
        <f t="shared" si="5"/>
        <v>3844</v>
      </c>
      <c r="K9">
        <f t="shared" si="2"/>
        <v>1708.4444444444441</v>
      </c>
      <c r="L9">
        <f t="shared" si="3"/>
        <v>49</v>
      </c>
      <c r="M9">
        <f t="shared" si="6"/>
        <v>5601.4444444444443</v>
      </c>
      <c r="N9" s="2">
        <f t="shared" si="7"/>
        <v>74.842798213618693</v>
      </c>
    </row>
    <row r="10" spans="1:14">
      <c r="A10">
        <v>8</v>
      </c>
      <c r="B10">
        <v>99</v>
      </c>
      <c r="C10">
        <v>165</v>
      </c>
      <c r="D10">
        <v>22</v>
      </c>
      <c r="F10">
        <f t="shared" si="4"/>
        <v>-58</v>
      </c>
      <c r="G10">
        <f t="shared" si="0"/>
        <v>48.333333333333329</v>
      </c>
      <c r="H10">
        <f t="shared" si="1"/>
        <v>-19</v>
      </c>
      <c r="J10">
        <f t="shared" si="5"/>
        <v>3364</v>
      </c>
      <c r="K10">
        <f t="shared" si="2"/>
        <v>2336.1111111111109</v>
      </c>
      <c r="L10">
        <f t="shared" si="3"/>
        <v>361</v>
      </c>
      <c r="M10">
        <f t="shared" si="6"/>
        <v>6061.1111111111113</v>
      </c>
      <c r="N10" s="2">
        <f t="shared" si="7"/>
        <v>77.853138094177751</v>
      </c>
    </row>
    <row r="11" spans="1:14" s="1" customFormat="1">
      <c r="A11" s="1" t="s">
        <v>4</v>
      </c>
      <c r="B11" s="1">
        <f>SUM(B2:B10)/9</f>
        <v>157</v>
      </c>
      <c r="C11" s="1">
        <f t="shared" ref="C11:D11" si="8">SUM(C2:C10)/9</f>
        <v>116.66666666666667</v>
      </c>
      <c r="D11" s="1">
        <f t="shared" si="8"/>
        <v>41</v>
      </c>
      <c r="J11" s="1">
        <f>SUM(J2:J10)/9</f>
        <v>2635.5555555555557</v>
      </c>
      <c r="K11" s="1">
        <f t="shared" ref="K11:L11" si="9">SUM(K2:K10)/9</f>
        <v>786.44444444444446</v>
      </c>
      <c r="L11" s="1">
        <f t="shared" si="9"/>
        <v>123.55555555555556</v>
      </c>
      <c r="M11">
        <f t="shared" si="6"/>
        <v>3545.5555555555557</v>
      </c>
      <c r="N11" s="3">
        <f t="shared" si="7"/>
        <v>59.544567808957652</v>
      </c>
    </row>
    <row r="12" spans="1:14">
      <c r="A12" s="4">
        <v>0</v>
      </c>
      <c r="B12" s="5">
        <v>1</v>
      </c>
      <c r="C12" s="6">
        <v>2</v>
      </c>
    </row>
    <row r="13" spans="1:14">
      <c r="A13" s="7">
        <v>3</v>
      </c>
      <c r="B13" s="12">
        <v>4</v>
      </c>
      <c r="C13" s="8">
        <v>5</v>
      </c>
    </row>
    <row r="14" spans="1:14">
      <c r="A14" s="9">
        <v>6</v>
      </c>
      <c r="B14" s="10">
        <v>7</v>
      </c>
      <c r="C14" s="11">
        <v>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Krokoz™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Shamil</cp:lastModifiedBy>
  <dcterms:created xsi:type="dcterms:W3CDTF">2016-12-18T21:15:19Z</dcterms:created>
  <dcterms:modified xsi:type="dcterms:W3CDTF">2017-01-05T20:06:02Z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babcc209-d17e-4961-a9f0-cc9d1d3d83da</vt:lpwstr>
  </property>
</Properties>
</file>